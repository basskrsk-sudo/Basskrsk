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Партнёры" sheetId="1" state="visible" r:id="rId1"/>
    <sheet xmlns:r="http://schemas.openxmlformats.org/officeDocument/2006/relationships" name="Амбассадоры" sheetId="2" state="visible" r:id="rId2"/>
    <sheet xmlns:r="http://schemas.openxmlformats.org/officeDocument/2006/relationships" name="Остатки" sheetId="3" state="visible" r:id="rId3"/>
    <sheet xmlns:r="http://schemas.openxmlformats.org/officeDocument/2006/relationships" name="Продажи" sheetId="4" state="visible" r:id="rId4"/>
    <sheet xmlns:r="http://schemas.openxmlformats.org/officeDocument/2006/relationships" name="Инструкция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9B233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A2218"/>
      <sz val="10"/>
    </font>
    <font>
      <name val="Arial"/>
      <charset val="1"/>
      <family val="0"/>
      <color rgb="FF2A2218"/>
      <sz val="10"/>
    </font>
    <font>
      <name val="Arial"/>
      <charset val="1"/>
      <family val="0"/>
      <b val="1"/>
      <color rgb="FF2D5A3F"/>
      <sz val="10"/>
    </font>
    <font>
      <name val="Arial"/>
      <charset val="1"/>
      <family val="0"/>
      <b val="1"/>
      <color rgb="FF9B2335"/>
      <sz val="10"/>
    </font>
    <font>
      <name val="Arial"/>
      <charset val="1"/>
      <family val="0"/>
      <b val="1"/>
      <color rgb="FF2D7D46"/>
      <sz val="10"/>
    </font>
    <font>
      <name val="Arial"/>
      <charset val="1"/>
      <family val="0"/>
      <b val="1"/>
      <color rgb="FFD4872A"/>
      <sz val="10"/>
    </font>
    <font>
      <name val="Arial"/>
      <charset val="1"/>
      <family val="0"/>
      <b val="1"/>
      <color rgb="FF534AB7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2D7D46"/>
      <sz val="10"/>
    </font>
    <font>
      <name val="Arial"/>
      <charset val="1"/>
      <family val="0"/>
      <color rgb="FFD4872A"/>
      <sz val="10"/>
    </font>
    <font>
      <name val="Arial"/>
      <charset val="1"/>
      <family val="0"/>
      <color rgb="FF9B2335"/>
      <sz val="10"/>
    </font>
    <font>
      <b val="1"/>
      <color rgb="00FFFFFF"/>
    </font>
    <font>
      <b val="1"/>
      <color rgb="FFFFFFFF"/>
    </font>
  </fonts>
  <fills count="12">
    <fill>
      <patternFill/>
    </fill>
    <fill>
      <patternFill patternType="gray125"/>
    </fill>
    <fill>
      <patternFill patternType="solid">
        <fgColor rgb="FF1C3A2F"/>
        <bgColor rgb="FF2A2218"/>
      </patternFill>
    </fill>
    <fill>
      <patternFill patternType="solid">
        <fgColor rgb="FF2D5A3F"/>
        <bgColor rgb="FF1C3A2F"/>
      </patternFill>
    </fill>
    <fill>
      <patternFill patternType="solid">
        <fgColor rgb="FFFFFFFF"/>
        <bgColor rgb="FFF5F5F5"/>
      </patternFill>
    </fill>
    <fill>
      <patternFill patternType="solid">
        <fgColor rgb="FFEDF5EE"/>
        <bgColor rgb="FFF5F5F5"/>
      </patternFill>
    </fill>
    <fill>
      <patternFill patternType="solid">
        <fgColor rgb="FFFFF4E5"/>
        <bgColor rgb="FFFDECEA"/>
      </patternFill>
    </fill>
    <fill>
      <patternFill patternType="solid">
        <fgColor rgb="FFF5F5F5"/>
        <bgColor rgb="FFEDF5EE"/>
      </patternFill>
    </fill>
    <fill>
      <patternFill patternType="solid">
        <fgColor rgb="FF534AB7"/>
        <bgColor rgb="FF333399"/>
      </patternFill>
    </fill>
    <fill>
      <patternFill patternType="solid">
        <fgColor rgb="FFFDECEA"/>
        <bgColor rgb="FFFFF4E5"/>
      </patternFill>
    </fill>
    <fill>
      <patternFill patternType="solid">
        <fgColor rgb="002D5A3F"/>
        <bgColor rgb="002D5A3F"/>
      </patternFill>
    </fill>
    <fill>
      <patternFill patternType="solid">
        <fgColor rgb="FF2D5A3F"/>
        <bgColor rgb="FF2D5A3F"/>
      </patternFill>
    </fill>
  </fills>
  <borders count="6">
    <border>
      <left/>
      <right/>
      <top/>
      <bottom/>
      <diagonal/>
    </border>
    <border>
      <left style="thin">
        <color rgb="FFDDD5C8"/>
      </left>
      <right style="thin">
        <color rgb="FFDDD5C8"/>
      </right>
      <top style="thin">
        <color rgb="FFDDD5C8"/>
      </top>
      <bottom style="thin">
        <color rgb="FFDDD5C8"/>
      </bottom>
      <diagonal/>
    </border>
    <border>
      <left/>
      <right/>
      <top style="thin">
        <color rgb="FFDDD5C8"/>
      </top>
      <bottom/>
      <diagonal/>
    </border>
    <border>
      <left/>
      <right style="thin">
        <color rgb="FFDDD5C8"/>
      </right>
      <top style="thin">
        <color rgb="FFDDD5C8"/>
      </top>
      <bottom/>
      <diagonal/>
    </border>
    <border>
      <left/>
      <right/>
      <top style="thin">
        <color rgb="FFDDD5C8"/>
      </top>
      <bottom style="thin">
        <color rgb="FFDDD5C8"/>
      </bottom>
      <diagonal/>
    </border>
    <border>
      <left/>
      <right style="thin">
        <color rgb="FFDDD5C8"/>
      </right>
      <top style="thin">
        <color rgb="FFDDD5C8"/>
      </top>
      <bottom style="thin">
        <color rgb="FFDDD5C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3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general" vertical="bottom"/>
    </xf>
    <xf numFmtId="0" fontId="19" fillId="10" borderId="0" pivotButton="0" quotePrefix="0" xfId="0"/>
    <xf numFmtId="0" fontId="20" fillId="11" borderId="0" applyAlignment="1" pivotButton="0" quotePrefix="0" xfId="0">
      <alignment horizontal="general" vertical="bottom"/>
    </xf>
    <xf numFmtId="0" fontId="20" fillId="11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B2335"/>
      <rgbColor rgb="FFFFF4E5"/>
      <rgbColor rgb="FFEDF5EE"/>
      <rgbColor rgb="FF660066"/>
      <rgbColor rgb="FFFF8080"/>
      <rgbColor rgb="FF0066CC"/>
      <rgbColor rgb="FFDDD5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72A"/>
      <rgbColor rgb="FFFF6600"/>
      <rgbColor rgb="FF534AB7"/>
      <rgbColor rgb="FF969696"/>
      <rgbColor rgb="FF2D5A3F"/>
      <rgbColor rgb="FF2D7D46"/>
      <rgbColor rgb="FF003300"/>
      <rgbColor rgb="FF2A2218"/>
      <rgbColor rgb="FF993300"/>
      <rgbColor rgb="FF993366"/>
      <rgbColor rgb="FF333399"/>
      <rgbColor rgb="FF1C3A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5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0" min="1" max="1"/>
    <col width="22" customWidth="1" style="30" min="2" max="2"/>
    <col width="18" customWidth="1" style="30" min="3" max="3"/>
    <col width="22" customWidth="1" style="30" min="4" max="4"/>
    <col width="18" customWidth="1" style="30" min="5" max="6"/>
    <col width="24" customWidth="1" style="30" min="7" max="7"/>
    <col width="16" customWidth="1" style="30" min="8" max="8"/>
    <col width="14" customWidth="1" style="30" min="9" max="9"/>
    <col width="10" customWidth="1" style="30" min="10" max="10"/>
    <col width="9" customWidth="1" style="30" min="11" max="11"/>
    <col width="12" customWidth="1" style="30" min="12" max="15"/>
    <col width="14" customWidth="1" style="30" min="16" max="17"/>
  </cols>
  <sheetData>
    <row r="1" ht="27.75" customHeight="1" s="31">
      <c r="A1" s="32" t="inlineStr">
        <is>
          <t>ТАЙГА · Партнёры (грумеры, вет. клиники, кинологи)</t>
        </is>
      </c>
      <c r="P1" s="33" t="inlineStr">
        <is>
          <t>⚠ Пароли — конфиденциально!</t>
        </is>
      </c>
    </row>
    <row r="2" ht="31.5" customHeight="1" s="31">
      <c r="A2" s="34" t="inlineStr">
        <is>
          <t>ID партнёра</t>
        </is>
      </c>
      <c r="B2" s="34" t="inlineStr">
        <is>
          <t>ФИО</t>
        </is>
      </c>
      <c r="C2" s="34" t="inlineStr">
        <is>
          <t>Телефон</t>
        </is>
      </c>
      <c r="D2" s="34" t="inlineStr">
        <is>
          <t>Email</t>
        </is>
      </c>
      <c r="E2" s="34" t="inlineStr">
        <is>
          <t>Тип заведения</t>
        </is>
      </c>
      <c r="F2" s="34" t="inlineStr">
        <is>
          <t>Название</t>
        </is>
      </c>
      <c r="G2" s="34" t="inlineStr">
        <is>
          <t>Адрес</t>
        </is>
      </c>
      <c r="H2" s="34" t="inlineStr">
        <is>
          <t>Амбассадор (код)</t>
        </is>
      </c>
      <c r="I2" s="34" t="inlineStr">
        <is>
          <t>Дата регистрации</t>
        </is>
      </c>
      <c r="J2" s="34" t="inlineStr">
        <is>
          <t>Статус</t>
        </is>
      </c>
      <c r="K2" s="34" t="inlineStr">
        <is>
          <t>Тариф, %</t>
        </is>
      </c>
      <c r="L2" s="34" t="inlineStr">
        <is>
          <t>Оборот, ₽</t>
        </is>
      </c>
      <c r="M2" s="34" t="inlineStr">
        <is>
          <t>Начислено, ₽</t>
        </is>
      </c>
      <c r="N2" s="34" t="inlineStr">
        <is>
          <t>Выплачено, ₽</t>
        </is>
      </c>
      <c r="O2" s="34" t="inlineStr">
        <is>
          <t>К выплате, ₽</t>
        </is>
      </c>
      <c r="P2" s="35" t="inlineStr">
        <is>
          <t>Логин</t>
        </is>
      </c>
      <c r="Q2" s="35" t="inlineStr">
        <is>
          <t>Пароль</t>
        </is>
      </c>
    </row>
    <row r="3" ht="19.5" customHeight="1" s="31">
      <c r="A3" s="36" t="inlineStr">
        <is>
          <t>GR-001</t>
        </is>
      </c>
      <c r="B3" s="37" t="n"/>
      <c r="C3" s="37" t="n"/>
      <c r="D3" s="37" t="n"/>
      <c r="E3" s="37" t="n"/>
      <c r="F3" s="37" t="n"/>
      <c r="G3" s="37" t="n"/>
      <c r="H3" s="37" t="n"/>
      <c r="I3" s="37" t="n"/>
      <c r="J3" s="37" t="inlineStr">
        <is>
          <t>Ожидает</t>
        </is>
      </c>
      <c r="K3" s="37" t="inlineStr">
        <is>
          <t>15%</t>
        </is>
      </c>
      <c r="L3" s="37" t="n"/>
      <c r="M3" s="37" t="n"/>
      <c r="N3" s="37" t="n"/>
      <c r="O3" s="37" t="n"/>
      <c r="P3" s="38" t="inlineStr">
        <is>
          <t>groomer01</t>
        </is>
      </c>
      <c r="Q3" s="39" t="inlineStr">
        <is>
          <t>siber13@</t>
        </is>
      </c>
    </row>
    <row r="4" ht="19.5" customHeight="1" s="31">
      <c r="A4" s="40" t="inlineStr">
        <is>
          <t>GR-002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inlineStr">
        <is>
          <t>Ожидает</t>
        </is>
      </c>
      <c r="K4" s="41" t="inlineStr">
        <is>
          <t>15%</t>
        </is>
      </c>
      <c r="L4" s="41" t="n"/>
      <c r="M4" s="41" t="n"/>
      <c r="N4" s="41" t="n"/>
      <c r="O4" s="41" t="n"/>
      <c r="P4" s="38" t="inlineStr">
        <is>
          <t>groomer02</t>
        </is>
      </c>
      <c r="Q4" s="39" t="inlineStr">
        <is>
          <t>reka41!</t>
        </is>
      </c>
    </row>
    <row r="5" ht="19.5" customHeight="1" s="31">
      <c r="A5" s="36" t="inlineStr">
        <is>
          <t>GR-003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inlineStr">
        <is>
          <t>Ожидает</t>
        </is>
      </c>
      <c r="K5" s="37" t="inlineStr">
        <is>
          <t>15%</t>
        </is>
      </c>
      <c r="L5" s="37" t="n"/>
      <c r="M5" s="37" t="n"/>
      <c r="N5" s="37" t="n"/>
      <c r="O5" s="37" t="n"/>
      <c r="P5" s="38" t="inlineStr">
        <is>
          <t>groomer03</t>
        </is>
      </c>
      <c r="Q5" s="39" t="inlineStr">
        <is>
          <t>kedry23@</t>
        </is>
      </c>
    </row>
    <row r="6" ht="19.5" customHeight="1" s="31">
      <c r="A6" s="40" t="inlineStr">
        <is>
          <t>GR-004</t>
        </is>
      </c>
      <c r="B6" s="41" t="n"/>
      <c r="C6" s="41" t="n"/>
      <c r="D6" s="41" t="n"/>
      <c r="E6" s="41" t="n"/>
      <c r="F6" s="41" t="n"/>
      <c r="G6" s="41" t="n"/>
      <c r="H6" s="41" t="n"/>
      <c r="I6" s="41" t="n"/>
      <c r="J6" s="41" t="inlineStr">
        <is>
          <t>Ожидает</t>
        </is>
      </c>
      <c r="K6" s="41" t="inlineStr">
        <is>
          <t>15%</t>
        </is>
      </c>
      <c r="L6" s="41" t="n"/>
      <c r="M6" s="41" t="n"/>
      <c r="N6" s="41" t="n"/>
      <c r="O6" s="41" t="n"/>
      <c r="P6" s="38" t="inlineStr">
        <is>
          <t>groomer04</t>
        </is>
      </c>
      <c r="Q6" s="39" t="inlineStr">
        <is>
          <t>baykal21@</t>
        </is>
      </c>
    </row>
    <row r="7" ht="19.5" customHeight="1" s="31">
      <c r="A7" s="36" t="inlineStr">
        <is>
          <t>GR-005</t>
        </is>
      </c>
      <c r="B7" s="37" t="n"/>
      <c r="C7" s="37" t="n"/>
      <c r="D7" s="37" t="n"/>
      <c r="E7" s="37" t="n"/>
      <c r="F7" s="37" t="n"/>
      <c r="G7" s="37" t="n"/>
      <c r="H7" s="37" t="n"/>
      <c r="I7" s="37" t="n"/>
      <c r="J7" s="37" t="inlineStr">
        <is>
          <t>Ожидает</t>
        </is>
      </c>
      <c r="K7" s="37" t="inlineStr">
        <is>
          <t>15%</t>
        </is>
      </c>
      <c r="L7" s="37" t="n"/>
      <c r="M7" s="37" t="n"/>
      <c r="N7" s="37" t="n"/>
      <c r="O7" s="37" t="n"/>
      <c r="P7" s="38" t="inlineStr">
        <is>
          <t>groomer05</t>
        </is>
      </c>
      <c r="Q7" s="39" t="inlineStr">
        <is>
          <t>step14!</t>
        </is>
      </c>
    </row>
    <row r="8" ht="19.5" customHeight="1" s="31">
      <c r="A8" s="40" t="inlineStr">
        <is>
          <t>GR-006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inlineStr">
        <is>
          <t>Ожидает</t>
        </is>
      </c>
      <c r="K8" s="41" t="inlineStr">
        <is>
          <t>15%</t>
        </is>
      </c>
      <c r="L8" s="41" t="n"/>
      <c r="M8" s="41" t="n"/>
      <c r="N8" s="41" t="n"/>
      <c r="O8" s="41" t="n"/>
      <c r="P8" s="38" t="inlineStr">
        <is>
          <t>groomer06</t>
        </is>
      </c>
      <c r="Q8" s="39" t="inlineStr">
        <is>
          <t>siber37!</t>
        </is>
      </c>
    </row>
    <row r="9" ht="19.5" customHeight="1" s="31">
      <c r="A9" s="36" t="inlineStr">
        <is>
          <t>GR-007</t>
        </is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inlineStr">
        <is>
          <t>Ожидает</t>
        </is>
      </c>
      <c r="K9" s="37" t="inlineStr">
        <is>
          <t>15%</t>
        </is>
      </c>
      <c r="L9" s="37" t="n"/>
      <c r="M9" s="37" t="n"/>
      <c r="N9" s="37" t="n"/>
      <c r="O9" s="37" t="n"/>
      <c r="P9" s="38" t="inlineStr">
        <is>
          <t>groomer07</t>
        </is>
      </c>
      <c r="Q9" s="39" t="inlineStr">
        <is>
          <t>baykal87!</t>
        </is>
      </c>
    </row>
    <row r="10" ht="19.5" customHeight="1" s="31">
      <c r="A10" s="40" t="inlineStr">
        <is>
          <t>GR-008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inlineStr">
        <is>
          <t>Ожидает</t>
        </is>
      </c>
      <c r="K10" s="41" t="inlineStr">
        <is>
          <t>15%</t>
        </is>
      </c>
      <c r="L10" s="41" t="n"/>
      <c r="M10" s="41" t="n"/>
      <c r="N10" s="41" t="n"/>
      <c r="O10" s="41" t="n"/>
      <c r="P10" s="38" t="inlineStr">
        <is>
          <t>groomer08</t>
        </is>
      </c>
      <c r="Q10" s="39" t="inlineStr">
        <is>
          <t>baykal35@</t>
        </is>
      </c>
    </row>
    <row r="11" ht="19.5" customHeight="1" s="31">
      <c r="A11" s="36" t="inlineStr">
        <is>
          <t>GR-009</t>
        </is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inlineStr">
        <is>
          <t>Ожидает</t>
        </is>
      </c>
      <c r="K11" s="37" t="inlineStr">
        <is>
          <t>15%</t>
        </is>
      </c>
      <c r="L11" s="37" t="n"/>
      <c r="M11" s="37" t="n"/>
      <c r="N11" s="37" t="n"/>
      <c r="O11" s="37" t="n"/>
      <c r="P11" s="38" t="inlineStr">
        <is>
          <t>groomer09</t>
        </is>
      </c>
      <c r="Q11" s="39" t="inlineStr">
        <is>
          <t>baykal63!</t>
        </is>
      </c>
    </row>
    <row r="12" ht="19.5" customHeight="1" s="31">
      <c r="A12" s="40" t="inlineStr">
        <is>
          <t>GR-010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inlineStr">
        <is>
          <t>Ожидает</t>
        </is>
      </c>
      <c r="K12" s="41" t="inlineStr">
        <is>
          <t>15%</t>
        </is>
      </c>
      <c r="L12" s="41" t="n"/>
      <c r="M12" s="41" t="n"/>
      <c r="N12" s="41" t="n"/>
      <c r="O12" s="41" t="n"/>
      <c r="P12" s="38" t="inlineStr">
        <is>
          <t>groomer10</t>
        </is>
      </c>
      <c r="Q12" s="39" t="inlineStr">
        <is>
          <t>pihta85#</t>
        </is>
      </c>
    </row>
    <row r="13" ht="19.5" customHeight="1" s="31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</row>
    <row r="14" ht="19.5" customHeight="1" s="31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</row>
    <row r="15" ht="19.5" customHeight="1" s="31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</row>
    <row r="16" ht="19.5" customHeight="1" s="31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</row>
    <row r="17" ht="19.5" customHeight="1" s="3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</row>
    <row r="18" ht="19.5" customHeight="1" s="31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</row>
    <row r="19" ht="19.5" customHeight="1" s="3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</row>
    <row r="20" ht="19.5" customHeight="1" s="31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</row>
    <row r="21" ht="19.5" customHeight="1" s="3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</row>
    <row r="22" ht="19.5" customHeight="1" s="31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</row>
    <row r="23" ht="19.5" customHeight="1" s="31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</row>
    <row r="24" ht="19.5" customHeight="1" s="31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</row>
    <row r="25" ht="19.5" customHeight="1" s="31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</row>
    <row r="26" ht="19.5" customHeight="1" s="31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</row>
    <row r="27" ht="19.5" customHeight="1" s="31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</row>
    <row r="28" ht="19.5" customHeight="1" s="31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</row>
    <row r="29" ht="19.5" customHeight="1" s="31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</row>
    <row r="30" ht="19.5" customHeight="1" s="31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</row>
    <row r="31" ht="19.5" customHeight="1" s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</row>
    <row r="32" ht="19.5" customHeight="1" s="3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</row>
    <row r="33" ht="19.5" customHeight="1" s="31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</row>
    <row r="34" ht="19.5" customHeight="1" s="31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</row>
    <row r="35" ht="19.5" customHeight="1" s="31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</row>
    <row r="36" ht="19.5" customHeight="1" s="31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</row>
    <row r="37" ht="19.5" customHeight="1" s="31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</row>
    <row r="38" ht="19.5" customHeight="1" s="31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</row>
    <row r="39" ht="19.5" customHeight="1" s="31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</row>
    <row r="40" ht="19.5" customHeight="1" s="31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</row>
    <row r="41" ht="19.5" customHeight="1" s="3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</row>
    <row r="42" ht="19.5" customHeight="1" s="31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</row>
    <row r="43" ht="19.5" customHeight="1" s="3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</row>
    <row r="44" ht="19.5" customHeight="1" s="31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</row>
    <row r="45" ht="19.5" customHeight="1" s="31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</row>
    <row r="46" ht="19.5" customHeight="1" s="31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</row>
    <row r="47" ht="19.5" customHeight="1" s="31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</row>
    <row r="48" ht="19.5" customHeight="1" s="31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</row>
    <row r="49" ht="19.5" customHeight="1" s="31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</row>
    <row r="50" ht="19.5" customHeight="1" s="31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</row>
    <row r="51" ht="19.5" customHeight="1" s="3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</row>
    <row r="52" ht="19.5" customHeight="1" s="31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</row>
    <row r="53" ht="19.5" customHeight="1" s="3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</row>
    <row r="54" ht="19.5" customHeight="1" s="31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</row>
    <row r="55" ht="19.5" customHeight="1" s="31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</row>
    <row r="56" ht="15" customHeight="1" s="31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</row>
  </sheetData>
  <mergeCells count="2">
    <mergeCell ref="A1:O1"/>
    <mergeCell ref="P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0" min="1" max="1"/>
    <col width="22" customWidth="1" style="30" min="2" max="2"/>
    <col width="18" customWidth="1" style="30" min="3" max="3"/>
    <col width="24" customWidth="1" style="30" min="4" max="4"/>
    <col width="14" customWidth="1" style="30" min="5" max="5"/>
    <col width="10" customWidth="1" style="30" min="6" max="6"/>
    <col width="12" customWidth="1" style="30" min="7" max="7"/>
    <col width="14" customWidth="1" style="30" min="8" max="10"/>
    <col width="16" customWidth="1" style="30" min="11" max="11"/>
    <col width="14" customWidth="1" style="30" min="12" max="12"/>
    <col width="14" customWidth="1" style="30" min="13" max="14"/>
  </cols>
  <sheetData>
    <row r="1" ht="27.75" customHeight="1" s="31">
      <c r="A1" s="32" t="inlineStr">
        <is>
          <t>ТАЙГА · Амбассадоры (полевые агенты)</t>
        </is>
      </c>
      <c r="M1" s="33" t="inlineStr">
        <is>
          <t>⚠ Пароли — конфиденциально!</t>
        </is>
      </c>
    </row>
    <row r="2" ht="31.5" customHeight="1" s="31">
      <c r="A2" s="42" t="inlineStr">
        <is>
          <t>Код AMB</t>
        </is>
      </c>
      <c r="B2" s="42" t="inlineStr">
        <is>
          <t>ФИО</t>
        </is>
      </c>
      <c r="C2" s="42" t="inlineStr">
        <is>
          <t>Телефон</t>
        </is>
      </c>
      <c r="D2" s="42" t="inlineStr">
        <is>
          <t>Email</t>
        </is>
      </c>
      <c r="E2" s="42" t="inlineStr">
        <is>
          <t>Дата подключения</t>
        </is>
      </c>
      <c r="F2" s="42" t="inlineStr">
        <is>
          <t>Статус</t>
        </is>
      </c>
      <c r="G2" s="42" t="inlineStr">
        <is>
          <t>Точек всего</t>
        </is>
      </c>
      <c r="H2" s="42" t="inlineStr">
        <is>
          <t>Точек активных</t>
        </is>
      </c>
      <c r="I2" s="42" t="inlineStr">
        <is>
          <t>Оборот точек, ₽</t>
        </is>
      </c>
      <c r="J2" s="42" t="inlineStr">
        <is>
          <t>Residual 3%, ₽</t>
        </is>
      </c>
      <c r="K2" s="42" t="inlineStr">
        <is>
          <t>Бонусов выплачено, ₽</t>
        </is>
      </c>
      <c r="L2" s="42" t="inlineStr">
        <is>
          <t>Итого к выплате, ₽</t>
        </is>
      </c>
      <c r="M2" s="43" t="inlineStr">
        <is>
          <t>Логин</t>
        </is>
      </c>
      <c r="N2" s="43" t="inlineStr">
        <is>
          <t>Пароль</t>
        </is>
      </c>
    </row>
    <row r="3" ht="19.5" customHeight="1" s="31">
      <c r="A3" s="36" t="inlineStr">
        <is>
          <t>AMB-2025-001</t>
        </is>
      </c>
      <c r="B3" s="37" t="n"/>
      <c r="C3" s="37" t="n"/>
      <c r="D3" s="37" t="n"/>
      <c r="E3" s="37" t="n"/>
      <c r="F3" s="37" t="inlineStr">
        <is>
          <t>Ожидает</t>
        </is>
      </c>
      <c r="G3" s="37" t="n">
        <v>0</v>
      </c>
      <c r="H3" s="37" t="n">
        <v>0</v>
      </c>
      <c r="I3" s="37" t="n"/>
      <c r="J3" s="37" t="n"/>
      <c r="K3" s="37" t="n"/>
      <c r="L3" s="37" t="n"/>
      <c r="M3" s="38" t="inlineStr">
        <is>
          <t>amb01</t>
        </is>
      </c>
      <c r="N3" s="39" t="inlineStr">
        <is>
          <t>taiga30@</t>
        </is>
      </c>
    </row>
    <row r="4" ht="19.5" customHeight="1" s="31">
      <c r="A4" s="40" t="inlineStr">
        <is>
          <t>AMB-2025-002</t>
        </is>
      </c>
      <c r="B4" s="41" t="n"/>
      <c r="C4" s="41" t="n"/>
      <c r="D4" s="41" t="n"/>
      <c r="E4" s="41" t="n"/>
      <c r="F4" s="41" t="inlineStr">
        <is>
          <t>Ожидает</t>
        </is>
      </c>
      <c r="G4" s="41" t="n">
        <v>0</v>
      </c>
      <c r="H4" s="41" t="n">
        <v>0</v>
      </c>
      <c r="I4" s="41" t="n"/>
      <c r="J4" s="41" t="n"/>
      <c r="K4" s="41" t="n"/>
      <c r="L4" s="41" t="n"/>
      <c r="M4" s="38" t="inlineStr">
        <is>
          <t>amb02</t>
        </is>
      </c>
      <c r="N4" s="39" t="inlineStr">
        <is>
          <t>step53#</t>
        </is>
      </c>
    </row>
    <row r="5" ht="19.5" customHeight="1" s="31">
      <c r="A5" s="36" t="inlineStr">
        <is>
          <t>AMB-2025-003</t>
        </is>
      </c>
      <c r="B5" s="37" t="n"/>
      <c r="C5" s="37" t="n"/>
      <c r="D5" s="37" t="n"/>
      <c r="E5" s="37" t="n"/>
      <c r="F5" s="37" t="inlineStr">
        <is>
          <t>Ожидает</t>
        </is>
      </c>
      <c r="G5" s="37" t="n">
        <v>0</v>
      </c>
      <c r="H5" s="37" t="n">
        <v>0</v>
      </c>
      <c r="I5" s="37" t="n"/>
      <c r="J5" s="37" t="n"/>
      <c r="K5" s="37" t="n"/>
      <c r="L5" s="37" t="n"/>
      <c r="M5" s="38" t="inlineStr">
        <is>
          <t>amb03</t>
        </is>
      </c>
      <c r="N5" s="39" t="inlineStr">
        <is>
          <t>kedry37#</t>
        </is>
      </c>
    </row>
    <row r="6" ht="19.5" customHeight="1" s="31">
      <c r="A6" s="40" t="inlineStr">
        <is>
          <t>AMB-2025-004</t>
        </is>
      </c>
      <c r="B6" s="41" t="n"/>
      <c r="C6" s="41" t="n"/>
      <c r="D6" s="41" t="n"/>
      <c r="E6" s="41" t="n"/>
      <c r="F6" s="41" t="inlineStr">
        <is>
          <t>Ожидает</t>
        </is>
      </c>
      <c r="G6" s="41" t="n">
        <v>0</v>
      </c>
      <c r="H6" s="41" t="n">
        <v>0</v>
      </c>
      <c r="I6" s="41" t="n"/>
      <c r="J6" s="41" t="n"/>
      <c r="K6" s="41" t="n"/>
      <c r="L6" s="41" t="n"/>
      <c r="M6" s="38" t="inlineStr">
        <is>
          <t>amb04</t>
        </is>
      </c>
      <c r="N6" s="39" t="inlineStr">
        <is>
          <t>siber21#</t>
        </is>
      </c>
    </row>
    <row r="7" ht="19.5" customHeight="1" s="31">
      <c r="A7" s="36" t="inlineStr">
        <is>
          <t>AMB-2025-005</t>
        </is>
      </c>
      <c r="B7" s="37" t="n"/>
      <c r="C7" s="37" t="n"/>
      <c r="D7" s="37" t="n"/>
      <c r="E7" s="37" t="n"/>
      <c r="F7" s="37" t="inlineStr">
        <is>
          <t>Ожидает</t>
        </is>
      </c>
      <c r="G7" s="37" t="n">
        <v>0</v>
      </c>
      <c r="H7" s="37" t="n">
        <v>0</v>
      </c>
      <c r="I7" s="37" t="n"/>
      <c r="J7" s="37" t="n"/>
      <c r="K7" s="37" t="n"/>
      <c r="L7" s="37" t="n"/>
      <c r="M7" s="38" t="inlineStr">
        <is>
          <t>amb05</t>
        </is>
      </c>
      <c r="N7" s="39" t="inlineStr">
        <is>
          <t>siber55#</t>
        </is>
      </c>
    </row>
    <row r="8" ht="19.5" customHeight="1" s="31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</row>
    <row r="9" ht="19.5" customHeight="1" s="31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</row>
    <row r="10" ht="19.5" customHeight="1" s="31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</row>
    <row r="11" ht="19.5" customHeight="1" s="3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</row>
    <row r="12" ht="19.5" customHeight="1" s="31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</row>
    <row r="13" ht="19.5" customHeight="1" s="31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</row>
    <row r="14" ht="19.5" customHeight="1" s="31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</row>
    <row r="15" ht="19.5" customHeight="1" s="31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</row>
    <row r="16" ht="19.5" customHeight="1" s="31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</row>
    <row r="17" ht="19.5" customHeight="1" s="3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 ht="19.5" customHeight="1" s="31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</row>
    <row r="19" ht="19.5" customHeight="1" s="3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 ht="19.5" customHeight="1" s="31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</row>
    <row r="21" ht="19.5" customHeight="1" s="3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 ht="19.5" customHeight="1" s="31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</row>
    <row r="23" ht="19.5" customHeight="1" s="31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 ht="19.5" customHeight="1" s="31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</row>
    <row r="25" ht="19.5" customHeight="1" s="31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</row>
    <row r="26" ht="19.5" customHeight="1" s="31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</row>
    <row r="27" ht="19.5" customHeight="1" s="31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</row>
    <row r="28" ht="19.5" customHeight="1" s="31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</row>
    <row r="29" ht="19.5" customHeight="1" s="31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</row>
    <row r="30" ht="19.5" customHeight="1" s="31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</row>
    <row r="31" ht="19.5" customHeight="1" s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</row>
    <row r="32" ht="19.5" customHeight="1" s="3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</row>
    <row r="33" ht="15" customHeight="1" s="31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 ht="15" customHeight="1" s="31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</row>
  </sheetData>
  <mergeCells count="2">
    <mergeCell ref="M1:N1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30" min="1" max="1"/>
    <col width="10" customWidth="1" style="30" min="2" max="2"/>
    <col width="16" customWidth="1" style="30" min="3" max="5"/>
    <col width="12" customWidth="1" style="30" min="6" max="6"/>
    <col width="16" customWidth="1" style="30" min="7" max="8"/>
  </cols>
  <sheetData>
    <row r="1" ht="27.75" customHeight="1" s="31">
      <c r="A1" s="32" t="inlineStr">
        <is>
          <t>ТАЙГА · Остатки на стойках</t>
        </is>
      </c>
    </row>
    <row r="2" ht="31.5" customHeight="1" s="31">
      <c r="A2" s="34" t="inlineStr">
        <is>
          <t>Товар</t>
        </is>
      </c>
      <c r="B2" s="34" t="inlineStr">
        <is>
          <t>Цена, ₽</t>
        </is>
      </c>
      <c r="C2" s="34" t="inlineStr">
        <is>
          <t>Лапки (GR-001)</t>
        </is>
      </c>
      <c r="D2" s="34" t="inlineStr">
        <is>
          <t>Айболит (GR-002)</t>
        </is>
      </c>
      <c r="E2" s="34" t="inlineStr">
        <is>
          <t>Берег (GR-003)</t>
        </is>
      </c>
      <c r="F2" s="34" t="inlineStr">
        <is>
          <t>Итого шт.</t>
        </is>
      </c>
      <c r="G2" s="34" t="inlineStr">
        <is>
          <t>Сумма на полках, ₽</t>
        </is>
      </c>
      <c r="H2" s="34" t="inlineStr">
        <is>
          <t>Статус</t>
        </is>
      </c>
    </row>
    <row r="3" ht="19.5" customHeight="1" s="31">
      <c r="A3" s="36" t="inlineStr">
        <is>
          <t>Лёгкое говяжье (мелкое), 50 г</t>
        </is>
      </c>
      <c r="B3" s="37" t="n">
        <v>325</v>
      </c>
      <c r="C3" s="37" t="n">
        <v>14</v>
      </c>
      <c r="D3" s="37" t="n">
        <v>8</v>
      </c>
      <c r="E3" s="37" t="n">
        <v>3</v>
      </c>
      <c r="F3" s="37">
        <f>C3+D3+E3</f>
        <v/>
      </c>
      <c r="G3" s="44">
        <f>F3*B3</f>
        <v/>
      </c>
      <c r="H3" s="45" t="inlineStr">
        <is>
          <t>✓ В наличии</t>
        </is>
      </c>
    </row>
    <row r="4" ht="19.5" customHeight="1" s="31">
      <c r="A4" s="40" t="inlineStr">
        <is>
          <t>Лёгкое говяжье (крупное), 50 г</t>
        </is>
      </c>
      <c r="B4" s="41" t="n">
        <v>325</v>
      </c>
      <c r="C4" s="41" t="n">
        <v>22</v>
      </c>
      <c r="D4" s="46" t="n">
        <v>0</v>
      </c>
      <c r="E4" s="41" t="n">
        <v>11</v>
      </c>
      <c r="F4" s="41">
        <f>C4+D4+E4</f>
        <v/>
      </c>
      <c r="G4" s="47">
        <f>F4*B4</f>
        <v/>
      </c>
      <c r="H4" s="48" t="inlineStr">
        <is>
          <t>⚠ Нет в 1 точке</t>
        </is>
      </c>
    </row>
    <row r="5" ht="19.5" customHeight="1" s="31">
      <c r="A5" s="36" t="inlineStr">
        <is>
          <t>Сердце говяжье, 50 г</t>
        </is>
      </c>
      <c r="B5" s="37" t="n">
        <v>425</v>
      </c>
      <c r="C5" s="37" t="n">
        <v>5</v>
      </c>
      <c r="D5" s="37" t="n">
        <v>17</v>
      </c>
      <c r="E5" s="37" t="n">
        <v>9</v>
      </c>
      <c r="F5" s="37">
        <f>C5+D5+E5</f>
        <v/>
      </c>
      <c r="G5" s="44">
        <f>F5*B5</f>
        <v/>
      </c>
      <c r="H5" s="45" t="inlineStr">
        <is>
          <t>✓ В наличии</t>
        </is>
      </c>
    </row>
    <row r="6" ht="19.5" customHeight="1" s="31">
      <c r="A6" s="40" t="inlineStr">
        <is>
          <t>Печень говяжья, 50 г</t>
        </is>
      </c>
      <c r="B6" s="41" t="n">
        <v>425</v>
      </c>
      <c r="C6" s="46" t="n">
        <v>0</v>
      </c>
      <c r="D6" s="41" t="n">
        <v>4</v>
      </c>
      <c r="E6" s="41" t="n">
        <v>7</v>
      </c>
      <c r="F6" s="41">
        <f>C6+D6+E6</f>
        <v/>
      </c>
      <c r="G6" s="47">
        <f>F6*B6</f>
        <v/>
      </c>
      <c r="H6" s="48" t="inlineStr">
        <is>
          <t>⚠ Нет в 1 точке</t>
        </is>
      </c>
    </row>
    <row r="7" ht="19.5" customHeight="1" s="31">
      <c r="A7" s="36" t="inlineStr">
        <is>
          <t>Трахея говяжья (колечки), 100 г</t>
        </is>
      </c>
      <c r="B7" s="37" t="n">
        <v>450</v>
      </c>
      <c r="C7" s="37" t="n">
        <v>18</v>
      </c>
      <c r="D7" s="37" t="n">
        <v>12</v>
      </c>
      <c r="E7" s="46" t="n">
        <v>0</v>
      </c>
      <c r="F7" s="37">
        <f>C7+D7+E7</f>
        <v/>
      </c>
      <c r="G7" s="44">
        <f>F7*B7</f>
        <v/>
      </c>
      <c r="H7" s="48" t="inlineStr">
        <is>
          <t>⚠ Нет в 1 точке</t>
        </is>
      </c>
    </row>
    <row r="8" ht="19.5" customHeight="1" s="31">
      <c r="A8" s="40" t="inlineStr">
        <is>
          <t>Трахея говяжья (кусочки), 100 г</t>
        </is>
      </c>
      <c r="B8" s="41" t="n">
        <v>450</v>
      </c>
      <c r="C8" s="41" t="n">
        <v>3</v>
      </c>
      <c r="D8" s="41" t="n">
        <v>6</v>
      </c>
      <c r="E8" s="41" t="n">
        <v>14</v>
      </c>
      <c r="F8" s="41">
        <f>C8+D8+E8</f>
        <v/>
      </c>
      <c r="G8" s="47">
        <f>F8*B8</f>
        <v/>
      </c>
      <c r="H8" s="45" t="inlineStr">
        <is>
          <t>✓ В наличии</t>
        </is>
      </c>
    </row>
    <row r="9" ht="19.5" customHeight="1" s="31">
      <c r="A9" s="36" t="inlineStr">
        <is>
          <t>Хвост говяжий (слайсы), 100 г</t>
        </is>
      </c>
      <c r="B9" s="37" t="n">
        <v>700</v>
      </c>
      <c r="C9" s="37" t="n">
        <v>9</v>
      </c>
      <c r="D9" s="46" t="n">
        <v>0</v>
      </c>
      <c r="E9" s="37" t="n">
        <v>5</v>
      </c>
      <c r="F9" s="37">
        <f>C9+D9+E9</f>
        <v/>
      </c>
      <c r="G9" s="44">
        <f>F9*B9</f>
        <v/>
      </c>
      <c r="H9" s="48" t="inlineStr">
        <is>
          <t>⚠ Нет в 1 точке</t>
        </is>
      </c>
    </row>
    <row r="10" ht="19.5" customHeight="1" s="31">
      <c r="A10" s="40" t="inlineStr">
        <is>
          <t>Хвост говяжий (кусочки с косточкой), 100 г</t>
        </is>
      </c>
      <c r="B10" s="41" t="n">
        <v>700</v>
      </c>
      <c r="C10" s="41" t="n">
        <v>7</v>
      </c>
      <c r="D10" s="41" t="n">
        <v>11</v>
      </c>
      <c r="E10" s="41" t="n">
        <v>2</v>
      </c>
      <c r="F10" s="41">
        <f>C10+D10+E10</f>
        <v/>
      </c>
      <c r="G10" s="47">
        <f>F10*B10</f>
        <v/>
      </c>
      <c r="H10" s="45" t="inlineStr">
        <is>
          <t>✓ В наличии</t>
        </is>
      </c>
    </row>
    <row r="11" ht="19.5" customHeight="1" s="31">
      <c r="A11" s="36" t="inlineStr">
        <is>
          <t>Игрушка «Кедр»</t>
        </is>
      </c>
      <c r="B11" s="37" t="n">
        <v>490</v>
      </c>
      <c r="C11" s="37" t="n">
        <v>9</v>
      </c>
      <c r="D11" s="37" t="n">
        <v>0</v>
      </c>
      <c r="E11" s="37" t="n">
        <v>5</v>
      </c>
      <c r="F11" s="37">
        <f>C11+D11+E11</f>
        <v/>
      </c>
      <c r="G11" s="44">
        <f>F11*B11</f>
        <v/>
      </c>
      <c r="H11" s="45" t="inlineStr">
        <is>
          <t>⚠ Нет в 1 точке</t>
        </is>
      </c>
    </row>
    <row r="12" ht="19.5" customHeight="1" s="31">
      <c r="A12" s="36" t="inlineStr">
        <is>
          <t>Диспенсер «Тайга»</t>
        </is>
      </c>
      <c r="B12" s="37" t="n">
        <v>650</v>
      </c>
      <c r="C12" s="37" t="n">
        <v>7</v>
      </c>
      <c r="D12" s="37" t="n">
        <v>11</v>
      </c>
      <c r="E12" s="37" t="n">
        <v>2</v>
      </c>
      <c r="F12" s="37">
        <f>C12+D12+E12</f>
        <v/>
      </c>
      <c r="G12" s="44">
        <f>F12*B12</f>
        <v/>
      </c>
      <c r="H12" s="45" t="inlineStr">
        <is>
          <t>✓ В наличии</t>
        </is>
      </c>
    </row>
    <row r="13">
      <c r="A13" s="40" t="inlineStr">
        <is>
          <t>Шампунь «Кедровый»</t>
        </is>
      </c>
      <c r="B13" s="41" t="n">
        <v>580</v>
      </c>
      <c r="C13" s="41" t="n">
        <v>12</v>
      </c>
      <c r="D13" s="46" t="n">
        <v>3</v>
      </c>
      <c r="E13" s="41" t="n">
        <v>8</v>
      </c>
      <c r="F13" s="41">
        <f>C13+D13+E13</f>
        <v/>
      </c>
      <c r="G13" s="47">
        <f>F13*B13</f>
        <v/>
      </c>
      <c r="H13" s="48" t="inlineStr">
        <is>
          <t>✓ В наличии</t>
        </is>
      </c>
    </row>
    <row r="14">
      <c r="A14" s="64" t="inlineStr">
        <is>
          <t>ИТОГО</t>
        </is>
      </c>
      <c r="B14" s="65" t="n"/>
      <c r="C14" s="65" t="n"/>
      <c r="D14" s="65" t="n"/>
      <c r="E14" s="65" t="n"/>
      <c r="F14" s="64">
        <f>SUM(F3:F13)</f>
        <v/>
      </c>
      <c r="G14" s="64">
        <f>SUM(G3:G13)</f>
        <v/>
      </c>
      <c r="H14" s="65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2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0" min="1" max="3"/>
    <col width="18" customWidth="1" style="30" min="4" max="4"/>
    <col width="22" customWidth="1" style="30" min="5" max="5"/>
    <col width="8" customWidth="1" style="30" min="6" max="6"/>
    <col width="10" customWidth="1" style="30" min="7" max="7"/>
    <col width="8" customWidth="1" style="30" min="8" max="8"/>
    <col width="14" customWidth="1" style="30" min="9" max="11"/>
  </cols>
  <sheetData>
    <row r="1" ht="27.75" customHeight="1" s="31">
      <c r="A1" s="32" t="inlineStr">
        <is>
          <t>ТАЙГА · Продажи и начисления (из CloudPayments)</t>
        </is>
      </c>
    </row>
    <row r="2" ht="31.5" customHeight="1" s="31">
      <c r="A2" s="50" t="inlineStr">
        <is>
          <t>Дата</t>
        </is>
      </c>
      <c r="B2" s="50" t="inlineStr">
        <is>
          <t>ID заказа</t>
        </is>
      </c>
      <c r="C2" s="50" t="inlineStr">
        <is>
          <t>Партнёр (ID)</t>
        </is>
      </c>
      <c r="D2" s="50" t="inlineStr">
        <is>
          <t>Точка</t>
        </is>
      </c>
      <c r="E2" s="50" t="inlineStr">
        <is>
          <t>Товар</t>
        </is>
      </c>
      <c r="F2" s="50" t="inlineStr">
        <is>
          <t>Кол-во</t>
        </is>
      </c>
      <c r="G2" s="50" t="inlineStr">
        <is>
          <t>Сумма, ₽</t>
        </is>
      </c>
      <c r="H2" s="50" t="inlineStr">
        <is>
          <t>Тариф %</t>
        </is>
      </c>
      <c r="I2" s="50" t="inlineStr">
        <is>
          <t>Начислено грумеру, ₽</t>
        </is>
      </c>
      <c r="J2" s="50" t="inlineStr">
        <is>
          <t>Residual амб., ₽</t>
        </is>
      </c>
      <c r="K2" s="50" t="inlineStr">
        <is>
          <t>Статус выплаты</t>
        </is>
      </c>
    </row>
    <row r="3" ht="19.5" customHeight="1" s="31">
      <c r="A3" s="37" t="inlineStr">
        <is>
          <t>01.07.2026</t>
        </is>
      </c>
      <c r="B3" s="37" t="inlineStr">
        <is>
          <t>TG-10001</t>
        </is>
      </c>
      <c r="C3" s="37" t="inlineStr">
        <is>
          <t>GR-001</t>
        </is>
      </c>
      <c r="D3" s="37" t="inlineStr">
        <is>
          <t>Лапки</t>
        </is>
      </c>
      <c r="E3" s="37" t="inlineStr">
        <is>
          <t>Сердце говяжье, 50 г</t>
        </is>
      </c>
      <c r="F3" s="37" t="n">
        <v>2</v>
      </c>
      <c r="G3" s="37" t="n">
        <v>850</v>
      </c>
      <c r="H3" s="37" t="inlineStr">
        <is>
          <t>0.18</t>
        </is>
      </c>
      <c r="I3" s="51">
        <f>G3*H3</f>
        <v/>
      </c>
      <c r="J3" s="52">
        <f>G3*0.03</f>
        <v/>
      </c>
      <c r="K3" s="45" t="inlineStr">
        <is>
          <t>Выплачено</t>
        </is>
      </c>
    </row>
    <row r="4" ht="19.5" customHeight="1" s="31">
      <c r="A4" s="41" t="inlineStr">
        <is>
          <t>02.07.2026</t>
        </is>
      </c>
      <c r="B4" s="41" t="inlineStr">
        <is>
          <t>TG-10002</t>
        </is>
      </c>
      <c r="C4" s="41" t="inlineStr">
        <is>
          <t>GR-002</t>
        </is>
      </c>
      <c r="D4" s="41" t="inlineStr">
        <is>
          <t>Айболит</t>
        </is>
      </c>
      <c r="E4" s="41" t="inlineStr">
        <is>
          <t>Хвост говяжий (слайсы), 100 г</t>
        </is>
      </c>
      <c r="F4" s="41" t="n">
        <v>1</v>
      </c>
      <c r="G4" s="41" t="n">
        <v>700</v>
      </c>
      <c r="H4" s="41" t="inlineStr">
        <is>
          <t>0.15</t>
        </is>
      </c>
      <c r="I4" s="53">
        <f>G4*H4</f>
        <v/>
      </c>
      <c r="J4" s="54">
        <f>G4*0.03</f>
        <v/>
      </c>
      <c r="K4" s="45" t="inlineStr">
        <is>
          <t>Выплачено</t>
        </is>
      </c>
    </row>
    <row r="5" ht="19.5" customHeight="1" s="31">
      <c r="A5" s="37" t="inlineStr">
        <is>
          <t>03.07.2026</t>
        </is>
      </c>
      <c r="B5" s="37" t="inlineStr">
        <is>
          <t>TG-10003</t>
        </is>
      </c>
      <c r="C5" s="37" t="inlineStr">
        <is>
          <t>GR-001</t>
        </is>
      </c>
      <c r="D5" s="37" t="inlineStr">
        <is>
          <t>Лапки</t>
        </is>
      </c>
      <c r="E5" s="37" t="inlineStr">
        <is>
          <t>Печень говяжья, 50 г</t>
        </is>
      </c>
      <c r="F5" s="37" t="n">
        <v>1</v>
      </c>
      <c r="G5" s="37" t="n">
        <v>425</v>
      </c>
      <c r="H5" s="37" t="inlineStr">
        <is>
          <t>0.18</t>
        </is>
      </c>
      <c r="I5" s="51">
        <f>G5*H5</f>
        <v/>
      </c>
      <c r="J5" s="52">
        <f>G5*0.03</f>
        <v/>
      </c>
      <c r="K5" s="48" t="inlineStr">
        <is>
          <t>Ожидает</t>
        </is>
      </c>
    </row>
    <row r="6" ht="19.5" customHeight="1" s="31">
      <c r="A6" s="41" t="inlineStr">
        <is>
          <t>04.07.2026</t>
        </is>
      </c>
      <c r="B6" s="41" t="inlineStr">
        <is>
          <t>TG-10004</t>
        </is>
      </c>
      <c r="C6" s="41" t="inlineStr">
        <is>
          <t>GR-003</t>
        </is>
      </c>
      <c r="D6" s="41" t="inlineStr">
        <is>
          <t>Берег</t>
        </is>
      </c>
      <c r="E6" s="41" t="inlineStr">
        <is>
          <t>Трахея говяжья (колечки), 100 г</t>
        </is>
      </c>
      <c r="F6" s="41" t="n">
        <v>3</v>
      </c>
      <c r="G6" s="41" t="n">
        <v>1350</v>
      </c>
      <c r="H6" s="41" t="inlineStr">
        <is>
          <t>0.15</t>
        </is>
      </c>
      <c r="I6" s="53">
        <f>G6*H6</f>
        <v/>
      </c>
      <c r="J6" s="54">
        <f>G6*0.03</f>
        <v/>
      </c>
      <c r="K6" s="48" t="inlineStr">
        <is>
          <t>Ожидает</t>
        </is>
      </c>
    </row>
    <row r="7" ht="19.5" customHeight="1" s="31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</row>
    <row r="8" ht="19.5" customHeight="1" s="31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</row>
    <row r="9" ht="19.5" customHeight="1" s="31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</row>
    <row r="10" ht="19.5" customHeight="1" s="31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</row>
    <row r="11" ht="19.5" customHeight="1" s="3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</row>
    <row r="12" ht="19.5" customHeight="1" s="31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</row>
    <row r="13" ht="19.5" customHeight="1" s="31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</row>
    <row r="14" ht="19.5" customHeight="1" s="31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</row>
    <row r="15" ht="19.5" customHeight="1" s="31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</row>
    <row r="16" ht="19.5" customHeight="1" s="31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</row>
    <row r="17" ht="19.5" customHeight="1" s="3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</row>
    <row r="18" ht="19.5" customHeight="1" s="31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</row>
    <row r="19" ht="19.5" customHeight="1" s="3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</row>
    <row r="20" ht="19.5" customHeight="1" s="31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</row>
    <row r="21" ht="19.5" customHeight="1" s="3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</row>
    <row r="22" ht="19.5" customHeight="1" s="31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</row>
    <row r="23" ht="19.5" customHeight="1" s="31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</row>
    <row r="24" ht="19.5" customHeight="1" s="31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</row>
    <row r="25" ht="19.5" customHeight="1" s="31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</row>
    <row r="26" ht="19.5" customHeight="1" s="31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</row>
    <row r="27" ht="19.5" customHeight="1" s="31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</row>
    <row r="28" ht="19.5" customHeight="1" s="31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</row>
    <row r="29" ht="19.5" customHeight="1" s="31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</row>
    <row r="30" ht="19.5" customHeight="1" s="31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</row>
    <row r="31" ht="19.5" customHeight="1" s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</row>
    <row r="32" ht="19.5" customHeight="1" s="3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</row>
    <row r="33" ht="19.5" customHeight="1" s="31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</row>
    <row r="34" ht="19.5" customHeight="1" s="31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</row>
    <row r="35" ht="19.5" customHeight="1" s="31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</row>
    <row r="36" ht="19.5" customHeight="1" s="31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</row>
    <row r="37" ht="19.5" customHeight="1" s="31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</row>
    <row r="38" ht="19.5" customHeight="1" s="31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</row>
    <row r="39" ht="19.5" customHeight="1" s="31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</row>
    <row r="40" ht="19.5" customHeight="1" s="31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</row>
    <row r="41" ht="19.5" customHeight="1" s="3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</row>
    <row r="42" ht="19.5" customHeight="1" s="31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</row>
    <row r="43" ht="19.5" customHeight="1" s="3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</row>
    <row r="44" ht="19.5" customHeight="1" s="31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</row>
    <row r="45" ht="19.5" customHeight="1" s="31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</row>
    <row r="46" ht="19.5" customHeight="1" s="31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</row>
    <row r="47" ht="19.5" customHeight="1" s="31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</row>
    <row r="48" ht="19.5" customHeight="1" s="31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</row>
    <row r="49" ht="19.5" customHeight="1" s="31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</row>
    <row r="50" ht="19.5" customHeight="1" s="31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</row>
    <row r="51" ht="19.5" customHeight="1" s="3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</row>
    <row r="52" ht="19.5" customHeight="1" s="31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</row>
    <row r="53" ht="19.5" customHeight="1" s="3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</row>
    <row r="54" ht="19.5" customHeight="1" s="31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</row>
    <row r="55" ht="19.5" customHeight="1" s="31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</row>
    <row r="56" ht="19.5" customHeight="1" s="31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</row>
    <row r="57" ht="19.5" customHeight="1" s="31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</row>
    <row r="58" ht="19.5" customHeight="1" s="31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</row>
    <row r="59" ht="19.5" customHeight="1" s="31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</row>
    <row r="60" ht="19.5" customHeight="1" s="31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</row>
    <row r="61" ht="19.5" customHeight="1" s="3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</row>
    <row r="62" ht="19.5" customHeight="1" s="31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</row>
    <row r="63" ht="19.5" customHeight="1" s="31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</row>
    <row r="64" ht="19.5" customHeight="1" s="31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</row>
    <row r="65" ht="19.5" customHeight="1" s="31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</row>
    <row r="66" ht="19.5" customHeight="1" s="31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</row>
    <row r="67" ht="19.5" customHeight="1" s="31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</row>
    <row r="68" ht="19.5" customHeight="1" s="31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</row>
    <row r="69" ht="19.5" customHeight="1" s="31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</row>
    <row r="70" ht="19.5" customHeight="1" s="31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</row>
    <row r="71" ht="19.5" customHeight="1" s="3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</row>
    <row r="72" ht="19.5" customHeight="1" s="31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</row>
    <row r="73" ht="19.5" customHeight="1" s="31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</row>
    <row r="74" ht="19.5" customHeight="1" s="31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</row>
    <row r="75" ht="19.5" customHeight="1" s="31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</row>
    <row r="76" ht="19.5" customHeight="1" s="31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</row>
    <row r="77" ht="19.5" customHeight="1" s="31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</row>
    <row r="78" ht="19.5" customHeight="1" s="31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</row>
    <row r="79" ht="19.5" customHeight="1" s="31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</row>
    <row r="80" ht="19.5" customHeight="1" s="31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</row>
    <row r="81" ht="19.5" customHeight="1" s="3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</row>
    <row r="82" ht="19.5" customHeight="1" s="31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</row>
    <row r="83" ht="19.5" customHeight="1" s="31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</row>
    <row r="84" ht="19.5" customHeight="1" s="31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</row>
    <row r="85" ht="19.5" customHeight="1" s="31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</row>
    <row r="86" ht="19.5" customHeight="1" s="31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</row>
    <row r="87" ht="19.5" customHeight="1" s="31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</row>
    <row r="88" ht="19.5" customHeight="1" s="31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</row>
    <row r="89" ht="19.5" customHeight="1" s="31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</row>
    <row r="90" ht="19.5" customHeight="1" s="31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</row>
    <row r="91" ht="19.5" customHeight="1" s="3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</row>
    <row r="92" ht="19.5" customHeight="1" s="31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</row>
    <row r="93" ht="19.5" customHeight="1" s="31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</row>
    <row r="94" ht="19.5" customHeight="1" s="31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</row>
    <row r="95" ht="19.5" customHeight="1" s="31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</row>
    <row r="96" ht="19.5" customHeight="1" s="31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</row>
    <row r="97" ht="19.5" customHeight="1" s="31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</row>
    <row r="98" ht="19.5" customHeight="1" s="31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</row>
    <row r="99" ht="19.5" customHeight="1" s="31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</row>
    <row r="100" ht="19.5" customHeight="1" s="31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</row>
    <row r="101" ht="19.5" customHeight="1" s="3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</row>
    <row r="102" ht="19.5" customHeight="1" s="31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</row>
    <row r="103" ht="19.5" customHeight="1" s="31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</row>
    <row r="104" ht="19.5" customHeight="1" s="31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</row>
    <row r="105" ht="19.5" customHeight="1" s="31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</row>
    <row r="106" ht="19.5" customHeight="1" s="31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</row>
    <row r="107" ht="19.5" customHeight="1" s="31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</row>
    <row r="108" ht="19.5" customHeight="1" s="31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</row>
    <row r="109" ht="19.5" customHeight="1" s="31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</row>
    <row r="110" ht="19.5" customHeight="1" s="31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</row>
    <row r="111" ht="19.5" customHeight="1" s="3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</row>
    <row r="112" ht="19.5" customHeight="1" s="31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</row>
    <row r="113" ht="19.5" customHeight="1" s="31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</row>
    <row r="114" ht="19.5" customHeight="1" s="31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</row>
    <row r="115" ht="19.5" customHeight="1" s="31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</row>
    <row r="116" ht="19.5" customHeight="1" s="31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</row>
    <row r="117" ht="19.5" customHeight="1" s="31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</row>
    <row r="118" ht="19.5" customHeight="1" s="31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</row>
    <row r="119" ht="19.5" customHeight="1" s="31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</row>
    <row r="120" ht="19.5" customHeight="1" s="31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</row>
    <row r="121" ht="19.5" customHeight="1" s="3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</row>
    <row r="122" ht="19.5" customHeight="1" s="31">
      <c r="A122" s="41" t="n"/>
      <c r="B122" s="41" t="n"/>
      <c r="C122" s="41" t="n"/>
      <c r="D122" s="41" t="n"/>
      <c r="E122" s="41" t="n"/>
      <c r="F122" s="41" t="n"/>
      <c r="G122" s="41" t="n"/>
      <c r="H122" s="41" t="n"/>
      <c r="I122" s="41" t="n"/>
      <c r="J122" s="41" t="n"/>
      <c r="K122" s="41" t="n"/>
    </row>
    <row r="123" ht="19.5" customHeight="1" s="31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</row>
    <row r="124" ht="19.5" customHeight="1" s="31">
      <c r="A124" s="41" t="n"/>
      <c r="B124" s="41" t="n"/>
      <c r="C124" s="41" t="n"/>
      <c r="D124" s="41" t="n"/>
      <c r="E124" s="41" t="n"/>
      <c r="F124" s="41" t="n"/>
      <c r="G124" s="41" t="n"/>
      <c r="H124" s="41" t="n"/>
      <c r="I124" s="41" t="n"/>
      <c r="J124" s="41" t="n"/>
      <c r="K124" s="41" t="n"/>
    </row>
    <row r="125" ht="19.5" customHeight="1" s="31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</row>
    <row r="126" ht="19.5" customHeight="1" s="31">
      <c r="A126" s="41" t="n"/>
      <c r="B126" s="41" t="n"/>
      <c r="C126" s="41" t="n"/>
      <c r="D126" s="41" t="n"/>
      <c r="E126" s="41" t="n"/>
      <c r="F126" s="41" t="n"/>
      <c r="G126" s="41" t="n"/>
      <c r="H126" s="41" t="n"/>
      <c r="I126" s="41" t="n"/>
      <c r="J126" s="41" t="n"/>
      <c r="K126" s="41" t="n"/>
    </row>
    <row r="127" ht="19.5" customHeight="1" s="31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</row>
    <row r="128" ht="19.5" customHeight="1" s="31">
      <c r="A128" s="41" t="n"/>
      <c r="B128" s="41" t="n"/>
      <c r="C128" s="41" t="n"/>
      <c r="D128" s="41" t="n"/>
      <c r="E128" s="41" t="n"/>
      <c r="F128" s="41" t="n"/>
      <c r="G128" s="41" t="n"/>
      <c r="H128" s="41" t="n"/>
      <c r="I128" s="41" t="n"/>
      <c r="J128" s="41" t="n"/>
      <c r="K128" s="41" t="n"/>
    </row>
    <row r="129" ht="19.5" customHeight="1" s="31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</row>
    <row r="130" ht="19.5" customHeight="1" s="31">
      <c r="A130" s="41" t="n"/>
      <c r="B130" s="41" t="n"/>
      <c r="C130" s="41" t="n"/>
      <c r="D130" s="41" t="n"/>
      <c r="E130" s="41" t="n"/>
      <c r="F130" s="41" t="n"/>
      <c r="G130" s="41" t="n"/>
      <c r="H130" s="41" t="n"/>
      <c r="I130" s="41" t="n"/>
      <c r="J130" s="41" t="n"/>
      <c r="K130" s="41" t="n"/>
    </row>
    <row r="131" ht="19.5" customHeight="1" s="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</row>
    <row r="132" ht="19.5" customHeight="1" s="31">
      <c r="A132" s="41" t="n"/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  <c r="K132" s="41" t="n"/>
    </row>
    <row r="133" ht="19.5" customHeight="1" s="31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</row>
    <row r="134" ht="19.5" customHeight="1" s="31">
      <c r="A134" s="41" t="n"/>
      <c r="B134" s="41" t="n"/>
      <c r="C134" s="41" t="n"/>
      <c r="D134" s="41" t="n"/>
      <c r="E134" s="41" t="n"/>
      <c r="F134" s="41" t="n"/>
      <c r="G134" s="41" t="n"/>
      <c r="H134" s="41" t="n"/>
      <c r="I134" s="41" t="n"/>
      <c r="J134" s="41" t="n"/>
      <c r="K134" s="41" t="n"/>
    </row>
    <row r="135" ht="19.5" customHeight="1" s="31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</row>
    <row r="136" ht="19.5" customHeight="1" s="31">
      <c r="A136" s="41" t="n"/>
      <c r="B136" s="41" t="n"/>
      <c r="C136" s="41" t="n"/>
      <c r="D136" s="41" t="n"/>
      <c r="E136" s="41" t="n"/>
      <c r="F136" s="41" t="n"/>
      <c r="G136" s="41" t="n"/>
      <c r="H136" s="41" t="n"/>
      <c r="I136" s="41" t="n"/>
      <c r="J136" s="41" t="n"/>
      <c r="K136" s="41" t="n"/>
    </row>
    <row r="137" ht="19.5" customHeight="1" s="31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</row>
    <row r="138" ht="19.5" customHeight="1" s="31">
      <c r="A138" s="41" t="n"/>
      <c r="B138" s="41" t="n"/>
      <c r="C138" s="41" t="n"/>
      <c r="D138" s="41" t="n"/>
      <c r="E138" s="41" t="n"/>
      <c r="F138" s="41" t="n"/>
      <c r="G138" s="41" t="n"/>
      <c r="H138" s="41" t="n"/>
      <c r="I138" s="41" t="n"/>
      <c r="J138" s="41" t="n"/>
      <c r="K138" s="41" t="n"/>
    </row>
    <row r="139" ht="19.5" customHeight="1" s="31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</row>
    <row r="140" ht="19.5" customHeight="1" s="31">
      <c r="A140" s="41" t="n"/>
      <c r="B140" s="41" t="n"/>
      <c r="C140" s="41" t="n"/>
      <c r="D140" s="41" t="n"/>
      <c r="E140" s="41" t="n"/>
      <c r="F140" s="41" t="n"/>
      <c r="G140" s="41" t="n"/>
      <c r="H140" s="41" t="n"/>
      <c r="I140" s="41" t="n"/>
      <c r="J140" s="41" t="n"/>
      <c r="K140" s="41" t="n"/>
    </row>
    <row r="141" ht="19.5" customHeight="1" s="3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</row>
    <row r="142" ht="19.5" customHeight="1" s="31">
      <c r="A142" s="41" t="n"/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</row>
    <row r="143" ht="19.5" customHeight="1" s="31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</row>
    <row r="144" ht="19.5" customHeight="1" s="31">
      <c r="A144" s="41" t="n"/>
      <c r="B144" s="41" t="n"/>
      <c r="C144" s="41" t="n"/>
      <c r="D144" s="41" t="n"/>
      <c r="E144" s="41" t="n"/>
      <c r="F144" s="41" t="n"/>
      <c r="G144" s="41" t="n"/>
      <c r="H144" s="41" t="n"/>
      <c r="I144" s="41" t="n"/>
      <c r="J144" s="41" t="n"/>
      <c r="K144" s="41" t="n"/>
    </row>
    <row r="145" ht="19.5" customHeight="1" s="31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</row>
    <row r="146" ht="19.5" customHeight="1" s="31">
      <c r="A146" s="41" t="n"/>
      <c r="B146" s="41" t="n"/>
      <c r="C146" s="41" t="n"/>
      <c r="D146" s="41" t="n"/>
      <c r="E146" s="41" t="n"/>
      <c r="F146" s="41" t="n"/>
      <c r="G146" s="41" t="n"/>
      <c r="H146" s="41" t="n"/>
      <c r="I146" s="41" t="n"/>
      <c r="J146" s="41" t="n"/>
      <c r="K146" s="41" t="n"/>
    </row>
    <row r="147" ht="19.5" customHeight="1" s="31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</row>
    <row r="148" ht="19.5" customHeight="1" s="31">
      <c r="A148" s="41" t="n"/>
      <c r="B148" s="41" t="n"/>
      <c r="C148" s="41" t="n"/>
      <c r="D148" s="41" t="n"/>
      <c r="E148" s="41" t="n"/>
      <c r="F148" s="41" t="n"/>
      <c r="G148" s="41" t="n"/>
      <c r="H148" s="41" t="n"/>
      <c r="I148" s="41" t="n"/>
      <c r="J148" s="41" t="n"/>
      <c r="K148" s="41" t="n"/>
    </row>
    <row r="149" ht="19.5" customHeight="1" s="31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</row>
    <row r="150" ht="19.5" customHeight="1" s="31">
      <c r="A150" s="41" t="n"/>
      <c r="B150" s="41" t="n"/>
      <c r="C150" s="41" t="n"/>
      <c r="D150" s="41" t="n"/>
      <c r="E150" s="41" t="n"/>
      <c r="F150" s="41" t="n"/>
      <c r="G150" s="41" t="n"/>
      <c r="H150" s="41" t="n"/>
      <c r="I150" s="41" t="n"/>
      <c r="J150" s="41" t="n"/>
      <c r="K150" s="41" t="n"/>
    </row>
    <row r="151" ht="19.5" customHeight="1" s="3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</row>
    <row r="152" ht="19.5" customHeight="1" s="31">
      <c r="A152" s="41" t="n"/>
      <c r="B152" s="41" t="n"/>
      <c r="C152" s="41" t="n"/>
      <c r="D152" s="41" t="n"/>
      <c r="E152" s="41" t="n"/>
      <c r="F152" s="41" t="n"/>
      <c r="G152" s="41" t="n"/>
      <c r="H152" s="41" t="n"/>
      <c r="I152" s="41" t="n"/>
      <c r="J152" s="41" t="n"/>
      <c r="K152" s="41" t="n"/>
    </row>
    <row r="153" ht="19.5" customHeight="1" s="3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</row>
    <row r="154" ht="19.5" customHeight="1" s="31">
      <c r="A154" s="41" t="n"/>
      <c r="B154" s="41" t="n"/>
      <c r="C154" s="41" t="n"/>
      <c r="D154" s="41" t="n"/>
      <c r="E154" s="41" t="n"/>
      <c r="F154" s="41" t="n"/>
      <c r="G154" s="41" t="n"/>
      <c r="H154" s="41" t="n"/>
      <c r="I154" s="41" t="n"/>
      <c r="J154" s="41" t="n"/>
      <c r="K154" s="41" t="n"/>
    </row>
    <row r="155" ht="19.5" customHeight="1" s="31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</row>
    <row r="156" ht="19.5" customHeight="1" s="31">
      <c r="A156" s="41" t="n"/>
      <c r="B156" s="41" t="n"/>
      <c r="C156" s="41" t="n"/>
      <c r="D156" s="41" t="n"/>
      <c r="E156" s="41" t="n"/>
      <c r="F156" s="41" t="n"/>
      <c r="G156" s="41" t="n"/>
      <c r="H156" s="41" t="n"/>
      <c r="I156" s="41" t="n"/>
      <c r="J156" s="41" t="n"/>
      <c r="K156" s="41" t="n"/>
    </row>
    <row r="157" ht="19.5" customHeight="1" s="31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</row>
    <row r="158" ht="19.5" customHeight="1" s="31">
      <c r="A158" s="41" t="n"/>
      <c r="B158" s="41" t="n"/>
      <c r="C158" s="41" t="n"/>
      <c r="D158" s="41" t="n"/>
      <c r="E158" s="41" t="n"/>
      <c r="F158" s="41" t="n"/>
      <c r="G158" s="41" t="n"/>
      <c r="H158" s="41" t="n"/>
      <c r="I158" s="41" t="n"/>
      <c r="J158" s="41" t="n"/>
      <c r="K158" s="41" t="n"/>
    </row>
    <row r="159" ht="19.5" customHeight="1" s="31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</row>
    <row r="160" ht="19.5" customHeight="1" s="31">
      <c r="A160" s="41" t="n"/>
      <c r="B160" s="41" t="n"/>
      <c r="C160" s="41" t="n"/>
      <c r="D160" s="41" t="n"/>
      <c r="E160" s="41" t="n"/>
      <c r="F160" s="41" t="n"/>
      <c r="G160" s="41" t="n"/>
      <c r="H160" s="41" t="n"/>
      <c r="I160" s="41" t="n"/>
      <c r="J160" s="41" t="n"/>
      <c r="K160" s="41" t="n"/>
    </row>
    <row r="161" ht="19.5" customHeight="1" s="3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</row>
    <row r="162" ht="19.5" customHeight="1" s="31">
      <c r="A162" s="41" t="n"/>
      <c r="B162" s="41" t="n"/>
      <c r="C162" s="41" t="n"/>
      <c r="D162" s="41" t="n"/>
      <c r="E162" s="41" t="n"/>
      <c r="F162" s="41" t="n"/>
      <c r="G162" s="41" t="n"/>
      <c r="H162" s="41" t="n"/>
      <c r="I162" s="41" t="n"/>
      <c r="J162" s="41" t="n"/>
      <c r="K162" s="41" t="n"/>
    </row>
    <row r="163" ht="19.5" customHeight="1" s="3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</row>
    <row r="164" ht="19.5" customHeight="1" s="31">
      <c r="A164" s="41" t="n"/>
      <c r="B164" s="41" t="n"/>
      <c r="C164" s="41" t="n"/>
      <c r="D164" s="41" t="n"/>
      <c r="E164" s="41" t="n"/>
      <c r="F164" s="41" t="n"/>
      <c r="G164" s="41" t="n"/>
      <c r="H164" s="41" t="n"/>
      <c r="I164" s="41" t="n"/>
      <c r="J164" s="41" t="n"/>
      <c r="K164" s="41" t="n"/>
    </row>
    <row r="165" ht="19.5" customHeight="1" s="31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</row>
    <row r="166" ht="19.5" customHeight="1" s="31">
      <c r="A166" s="41" t="n"/>
      <c r="B166" s="41" t="n"/>
      <c r="C166" s="41" t="n"/>
      <c r="D166" s="41" t="n"/>
      <c r="E166" s="41" t="n"/>
      <c r="F166" s="41" t="n"/>
      <c r="G166" s="41" t="n"/>
      <c r="H166" s="41" t="n"/>
      <c r="I166" s="41" t="n"/>
      <c r="J166" s="41" t="n"/>
      <c r="K166" s="41" t="n"/>
    </row>
    <row r="167" ht="19.5" customHeight="1" s="31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</row>
    <row r="168" ht="19.5" customHeight="1" s="31">
      <c r="A168" s="41" t="n"/>
      <c r="B168" s="41" t="n"/>
      <c r="C168" s="41" t="n"/>
      <c r="D168" s="41" t="n"/>
      <c r="E168" s="41" t="n"/>
      <c r="F168" s="41" t="n"/>
      <c r="G168" s="41" t="n"/>
      <c r="H168" s="41" t="n"/>
      <c r="I168" s="41" t="n"/>
      <c r="J168" s="41" t="n"/>
      <c r="K168" s="41" t="n"/>
    </row>
    <row r="169" ht="19.5" customHeight="1" s="31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</row>
    <row r="170" ht="19.5" customHeight="1" s="31">
      <c r="A170" s="41" t="n"/>
      <c r="B170" s="41" t="n"/>
      <c r="C170" s="41" t="n"/>
      <c r="D170" s="41" t="n"/>
      <c r="E170" s="41" t="n"/>
      <c r="F170" s="41" t="n"/>
      <c r="G170" s="41" t="n"/>
      <c r="H170" s="41" t="n"/>
      <c r="I170" s="41" t="n"/>
      <c r="J170" s="41" t="n"/>
      <c r="K170" s="41" t="n"/>
    </row>
    <row r="171" ht="19.5" customHeight="1" s="3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</row>
    <row r="172" ht="19.5" customHeight="1" s="31">
      <c r="A172" s="41" t="n"/>
      <c r="B172" s="41" t="n"/>
      <c r="C172" s="41" t="n"/>
      <c r="D172" s="41" t="n"/>
      <c r="E172" s="41" t="n"/>
      <c r="F172" s="41" t="n"/>
      <c r="G172" s="41" t="n"/>
      <c r="H172" s="41" t="n"/>
      <c r="I172" s="41" t="n"/>
      <c r="J172" s="41" t="n"/>
      <c r="K172" s="41" t="n"/>
    </row>
    <row r="173" ht="19.5" customHeight="1" s="31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</row>
    <row r="174" ht="19.5" customHeight="1" s="31">
      <c r="A174" s="41" t="n"/>
      <c r="B174" s="41" t="n"/>
      <c r="C174" s="41" t="n"/>
      <c r="D174" s="41" t="n"/>
      <c r="E174" s="41" t="n"/>
      <c r="F174" s="41" t="n"/>
      <c r="G174" s="41" t="n"/>
      <c r="H174" s="41" t="n"/>
      <c r="I174" s="41" t="n"/>
      <c r="J174" s="41" t="n"/>
      <c r="K174" s="41" t="n"/>
    </row>
    <row r="175" ht="19.5" customHeight="1" s="31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</row>
    <row r="176" ht="19.5" customHeight="1" s="31">
      <c r="A176" s="41" t="n"/>
      <c r="B176" s="41" t="n"/>
      <c r="C176" s="41" t="n"/>
      <c r="D176" s="41" t="n"/>
      <c r="E176" s="41" t="n"/>
      <c r="F176" s="41" t="n"/>
      <c r="G176" s="41" t="n"/>
      <c r="H176" s="41" t="n"/>
      <c r="I176" s="41" t="n"/>
      <c r="J176" s="41" t="n"/>
      <c r="K176" s="41" t="n"/>
    </row>
    <row r="177" ht="19.5" customHeight="1" s="31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</row>
    <row r="178" ht="19.5" customHeight="1" s="31">
      <c r="A178" s="41" t="n"/>
      <c r="B178" s="41" t="n"/>
      <c r="C178" s="41" t="n"/>
      <c r="D178" s="41" t="n"/>
      <c r="E178" s="41" t="n"/>
      <c r="F178" s="41" t="n"/>
      <c r="G178" s="41" t="n"/>
      <c r="H178" s="41" t="n"/>
      <c r="I178" s="41" t="n"/>
      <c r="J178" s="41" t="n"/>
      <c r="K178" s="41" t="n"/>
    </row>
    <row r="179" ht="19.5" customHeight="1" s="31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</row>
    <row r="180" ht="19.5" customHeight="1" s="31">
      <c r="A180" s="41" t="n"/>
      <c r="B180" s="41" t="n"/>
      <c r="C180" s="41" t="n"/>
      <c r="D180" s="41" t="n"/>
      <c r="E180" s="41" t="n"/>
      <c r="F180" s="41" t="n"/>
      <c r="G180" s="41" t="n"/>
      <c r="H180" s="41" t="n"/>
      <c r="I180" s="41" t="n"/>
      <c r="J180" s="41" t="n"/>
      <c r="K180" s="41" t="n"/>
    </row>
    <row r="181" ht="19.5" customHeight="1" s="3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</row>
    <row r="182" ht="19.5" customHeight="1" s="31">
      <c r="A182" s="41" t="n"/>
      <c r="B182" s="41" t="n"/>
      <c r="C182" s="41" t="n"/>
      <c r="D182" s="41" t="n"/>
      <c r="E182" s="41" t="n"/>
      <c r="F182" s="41" t="n"/>
      <c r="G182" s="41" t="n"/>
      <c r="H182" s="41" t="n"/>
      <c r="I182" s="41" t="n"/>
      <c r="J182" s="41" t="n"/>
      <c r="K182" s="41" t="n"/>
    </row>
    <row r="183" ht="19.5" customHeight="1" s="31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</row>
    <row r="184" ht="19.5" customHeight="1" s="31">
      <c r="A184" s="41" t="n"/>
      <c r="B184" s="41" t="n"/>
      <c r="C184" s="41" t="n"/>
      <c r="D184" s="41" t="n"/>
      <c r="E184" s="41" t="n"/>
      <c r="F184" s="41" t="n"/>
      <c r="G184" s="41" t="n"/>
      <c r="H184" s="41" t="n"/>
      <c r="I184" s="41" t="n"/>
      <c r="J184" s="41" t="n"/>
      <c r="K184" s="41" t="n"/>
    </row>
    <row r="185" ht="19.5" customHeight="1" s="31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</row>
    <row r="186" ht="19.5" customHeight="1" s="31">
      <c r="A186" s="41" t="n"/>
      <c r="B186" s="41" t="n"/>
      <c r="C186" s="41" t="n"/>
      <c r="D186" s="41" t="n"/>
      <c r="E186" s="41" t="n"/>
      <c r="F186" s="41" t="n"/>
      <c r="G186" s="41" t="n"/>
      <c r="H186" s="41" t="n"/>
      <c r="I186" s="41" t="n"/>
      <c r="J186" s="41" t="n"/>
      <c r="K186" s="41" t="n"/>
    </row>
    <row r="187" ht="19.5" customHeight="1" s="31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</row>
    <row r="188" ht="19.5" customHeight="1" s="31">
      <c r="A188" s="41" t="n"/>
      <c r="B188" s="41" t="n"/>
      <c r="C188" s="41" t="n"/>
      <c r="D188" s="41" t="n"/>
      <c r="E188" s="41" t="n"/>
      <c r="F188" s="41" t="n"/>
      <c r="G188" s="41" t="n"/>
      <c r="H188" s="41" t="n"/>
      <c r="I188" s="41" t="n"/>
      <c r="J188" s="41" t="n"/>
      <c r="K188" s="41" t="n"/>
    </row>
    <row r="189" ht="19.5" customHeight="1" s="31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</row>
    <row r="190" ht="19.5" customHeight="1" s="31">
      <c r="A190" s="41" t="n"/>
      <c r="B190" s="41" t="n"/>
      <c r="C190" s="41" t="n"/>
      <c r="D190" s="41" t="n"/>
      <c r="E190" s="41" t="n"/>
      <c r="F190" s="41" t="n"/>
      <c r="G190" s="41" t="n"/>
      <c r="H190" s="41" t="n"/>
      <c r="I190" s="41" t="n"/>
      <c r="J190" s="41" t="n"/>
      <c r="K190" s="41" t="n"/>
    </row>
    <row r="191" ht="19.5" customHeight="1" s="3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</row>
    <row r="192" ht="19.5" customHeight="1" s="31">
      <c r="A192" s="41" t="n"/>
      <c r="B192" s="41" t="n"/>
      <c r="C192" s="41" t="n"/>
      <c r="D192" s="41" t="n"/>
      <c r="E192" s="41" t="n"/>
      <c r="F192" s="41" t="n"/>
      <c r="G192" s="41" t="n"/>
      <c r="H192" s="41" t="n"/>
      <c r="I192" s="41" t="n"/>
      <c r="J192" s="41" t="n"/>
      <c r="K192" s="41" t="n"/>
    </row>
    <row r="193" ht="19.5" customHeight="1" s="31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</row>
    <row r="194" ht="19.5" customHeight="1" s="31">
      <c r="A194" s="41" t="n"/>
      <c r="B194" s="41" t="n"/>
      <c r="C194" s="41" t="n"/>
      <c r="D194" s="41" t="n"/>
      <c r="E194" s="41" t="n"/>
      <c r="F194" s="41" t="n"/>
      <c r="G194" s="41" t="n"/>
      <c r="H194" s="41" t="n"/>
      <c r="I194" s="41" t="n"/>
      <c r="J194" s="41" t="n"/>
      <c r="K194" s="41" t="n"/>
    </row>
    <row r="195" ht="19.5" customHeight="1" s="31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</row>
    <row r="196" ht="19.5" customHeight="1" s="31">
      <c r="A196" s="41" t="n"/>
      <c r="B196" s="41" t="n"/>
      <c r="C196" s="41" t="n"/>
      <c r="D196" s="41" t="n"/>
      <c r="E196" s="41" t="n"/>
      <c r="F196" s="41" t="n"/>
      <c r="G196" s="41" t="n"/>
      <c r="H196" s="41" t="n"/>
      <c r="I196" s="41" t="n"/>
      <c r="J196" s="41" t="n"/>
      <c r="K196" s="41" t="n"/>
    </row>
    <row r="197" ht="19.5" customHeight="1" s="31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</row>
    <row r="198" ht="19.5" customHeight="1" s="31">
      <c r="A198" s="41" t="n"/>
      <c r="B198" s="41" t="n"/>
      <c r="C198" s="41" t="n"/>
      <c r="D198" s="41" t="n"/>
      <c r="E198" s="41" t="n"/>
      <c r="F198" s="41" t="n"/>
      <c r="G198" s="41" t="n"/>
      <c r="H198" s="41" t="n"/>
      <c r="I198" s="41" t="n"/>
      <c r="J198" s="41" t="n"/>
      <c r="K198" s="41" t="n"/>
    </row>
    <row r="199" ht="19.5" customHeight="1" s="31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</row>
    <row r="200" ht="19.5" customHeight="1" s="31">
      <c r="A200" s="41" t="n"/>
      <c r="B200" s="41" t="n"/>
      <c r="C200" s="41" t="n"/>
      <c r="D200" s="41" t="n"/>
      <c r="E200" s="41" t="n"/>
      <c r="F200" s="41" t="n"/>
      <c r="G200" s="41" t="n"/>
      <c r="H200" s="41" t="n"/>
      <c r="I200" s="41" t="n"/>
      <c r="J200" s="41" t="n"/>
      <c r="K200" s="41" t="n"/>
    </row>
    <row r="201" ht="19.5" customHeight="1" s="3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</row>
    <row r="202" ht="19.5" customHeight="1" s="31">
      <c r="A202" s="41" t="n"/>
      <c r="B202" s="41" t="n"/>
      <c r="C202" s="41" t="n"/>
      <c r="D202" s="41" t="n"/>
      <c r="E202" s="41" t="n"/>
      <c r="F202" s="41" t="n"/>
      <c r="G202" s="41" t="n"/>
      <c r="H202" s="41" t="n"/>
      <c r="I202" s="41" t="n"/>
      <c r="J202" s="41" t="n"/>
      <c r="K202" s="41" t="n"/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30" min="1" max="1"/>
    <col width="2" customWidth="1" style="30" min="2" max="4"/>
  </cols>
  <sheetData>
    <row r="1" ht="27.75" customHeight="1" s="31">
      <c r="A1" s="55" t="inlineStr">
        <is>
          <t>ТАЙГА · Инструкция по работе с таблицей и Notion</t>
        </is>
      </c>
      <c r="B1" s="56" t="n"/>
      <c r="C1" s="56" t="n"/>
      <c r="D1" s="57" t="n"/>
    </row>
    <row r="3" ht="21.75" customHeight="1" s="31">
      <c r="A3" s="58" t="inlineStr">
        <is>
          <t>КАК ИМПОРТИРОВАТЬ В NOTION</t>
        </is>
      </c>
      <c r="B3" s="56" t="n"/>
      <c r="C3" s="56" t="n"/>
      <c r="D3" s="57" t="n"/>
    </row>
    <row r="4" ht="18" customHeight="1" s="31">
      <c r="A4" s="37" t="inlineStr">
        <is>
          <t>1. Откройте Notion → Создать страницу</t>
        </is>
      </c>
      <c r="B4" s="56" t="n"/>
      <c r="C4" s="56" t="n"/>
      <c r="D4" s="57" t="n"/>
    </row>
    <row r="5" ht="18" customHeight="1" s="31">
      <c r="A5" s="37" t="inlineStr">
        <is>
          <t>2. Нажмите / → выберите «Таблица» → «Из CSV»</t>
        </is>
      </c>
      <c r="B5" s="56" t="n"/>
      <c r="C5" s="56" t="n"/>
      <c r="D5" s="57" t="n"/>
    </row>
    <row r="6" ht="18" customHeight="1" s="31">
      <c r="A6" s="37" t="inlineStr">
        <is>
          <t>3. Сначала сохраните каждый лист как CSV: Файл → Сохранить копию → CSV</t>
        </is>
      </c>
      <c r="B6" s="56" t="n"/>
      <c r="C6" s="56" t="n"/>
      <c r="D6" s="57" t="n"/>
    </row>
    <row r="7" ht="18" customHeight="1" s="31">
      <c r="A7" s="37" t="inlineStr">
        <is>
          <t>4. Импортируйте по одному: Партнёры, Амбассадоры, Остатки, Продажи</t>
        </is>
      </c>
      <c r="B7" s="56" t="n"/>
      <c r="C7" s="56" t="n"/>
      <c r="D7" s="57" t="n"/>
    </row>
    <row r="8" ht="18" customHeight="1" s="31">
      <c r="A8" s="37" t="inlineStr">
        <is>
          <t>5. В Notion свяжите таблицы через «Relation»: Партнёры ↔ Амбассадоры, Продажи ↔ Партнёры</t>
        </is>
      </c>
      <c r="B8" s="56" t="n"/>
      <c r="C8" s="56" t="n"/>
      <c r="D8" s="57" t="n"/>
    </row>
    <row r="10" ht="21.75" customHeight="1" s="31">
      <c r="A10" s="58" t="inlineStr">
        <is>
          <t>КАК ОБНОВЛЯТЬ ДАННЫЕ</t>
        </is>
      </c>
      <c r="B10" s="56" t="n"/>
      <c r="C10" s="56" t="n"/>
      <c r="D10" s="57" t="n"/>
    </row>
    <row r="11" ht="18" customHeight="1" s="31">
      <c r="A11" s="37" t="inlineStr">
        <is>
          <t>Партнёры    → вносите вручную при получении Telegram-уведомления о новой регистрации</t>
        </is>
      </c>
      <c r="B11" s="56" t="n"/>
      <c r="C11" s="56" t="n"/>
      <c r="D11" s="57" t="n"/>
    </row>
    <row r="12" ht="18" customHeight="1" s="31">
      <c r="A12" s="37" t="inlineStr">
        <is>
          <t>Продажи     → экспортируйте CSV из CloudPayments (ЛК → Операции → Экспорт) раз в неделю</t>
        </is>
      </c>
      <c r="B12" s="56" t="n"/>
      <c r="C12" s="56" t="n"/>
      <c r="D12" s="57" t="n"/>
    </row>
    <row r="13" ht="18" customHeight="1" s="31">
      <c r="A13" s="37" t="inlineStr">
        <is>
          <t>Остатки     → обновляйте вручную после каждого пополнения стойки</t>
        </is>
      </c>
      <c r="B13" s="56" t="n"/>
      <c r="C13" s="56" t="n"/>
      <c r="D13" s="57" t="n"/>
    </row>
    <row r="14" ht="18" customHeight="1" s="31">
      <c r="A14" s="37" t="inlineStr">
        <is>
          <t>Амбассадоры → данные из столбцов «Оборот» и «Residual» считайте из листа Продажи</t>
        </is>
      </c>
      <c r="B14" s="56" t="n"/>
      <c r="C14" s="56" t="n"/>
      <c r="D14" s="57" t="n"/>
    </row>
    <row r="16" ht="21.75" customHeight="1" s="31">
      <c r="A16" s="58" t="inlineStr">
        <is>
          <t>ЦВЕТОВАЯ СХЕМА</t>
        </is>
      </c>
      <c r="B16" s="56" t="n"/>
      <c r="C16" s="56" t="n"/>
      <c r="D16" s="57" t="n"/>
    </row>
    <row r="17" ht="18" customHeight="1" s="31">
      <c r="A17" s="59" t="inlineStr">
        <is>
          <t>Зелёный фон → Активен / В наличии / Выплачено</t>
        </is>
      </c>
      <c r="B17" s="56" t="n"/>
      <c r="C17" s="56" t="n"/>
      <c r="D17" s="57" t="n"/>
    </row>
    <row r="18" ht="18" customHeight="1" s="31">
      <c r="A18" s="60" t="inlineStr">
        <is>
          <t>Янтарный фон → Спящий / Ожидает / Мало</t>
        </is>
      </c>
      <c r="B18" s="56" t="n"/>
      <c r="C18" s="56" t="n"/>
      <c r="D18" s="57" t="n"/>
    </row>
    <row r="19" ht="18" customHeight="1" s="31">
      <c r="A19" s="61" t="inlineStr">
        <is>
          <t>Красный фон → Нет нигде / Нет в точке</t>
        </is>
      </c>
      <c r="B19" s="56" t="n"/>
      <c r="C19" s="56" t="n"/>
      <c r="D19" s="57" t="n"/>
    </row>
    <row r="21" ht="21.75" customHeight="1" s="31">
      <c r="A21" s="58" t="inlineStr">
        <is>
          <t>ЧАСТОТА ОБНОВЛЕНИЯ</t>
        </is>
      </c>
      <c r="B21" s="56" t="n"/>
      <c r="C21" s="56" t="n"/>
      <c r="D21" s="57" t="n"/>
    </row>
    <row r="22" ht="18" customHeight="1" s="31">
      <c r="A22" s="37" t="inlineStr">
        <is>
          <t>Ежедневно (2 мин)    → новые регистрации из Telegram → в лист Партнёры</t>
        </is>
      </c>
      <c r="B22" s="56" t="n"/>
      <c r="C22" s="56" t="n"/>
      <c r="D22" s="57" t="n"/>
    </row>
    <row r="23" ht="18" customHeight="1" s="31">
      <c r="A23" s="37" t="inlineStr">
        <is>
          <t>Еженедельно (10 мин) → выгрузка CloudPayments → вставить в лист Продажи</t>
        </is>
      </c>
      <c r="B23" s="56" t="n"/>
      <c r="C23" s="56" t="n"/>
      <c r="D23" s="57" t="n"/>
    </row>
    <row r="24" ht="18" customHeight="1" s="31">
      <c r="A24" s="37" t="inlineStr">
        <is>
          <t>При пополнении       → обновить лист Остатки для нужной точки</t>
        </is>
      </c>
      <c r="B24" s="56" t="n"/>
      <c r="C24" s="56" t="n"/>
      <c r="D24" s="57" t="n"/>
    </row>
    <row r="25" ht="18" customHeight="1" s="31">
      <c r="A25" s="37" t="inlineStr">
        <is>
          <t>1-го и 15-го (20 мин) → проверить К выплате → перевести грумерам и амбассадорам</t>
        </is>
      </c>
      <c r="B25" s="56" t="n"/>
      <c r="C25" s="56" t="n"/>
      <c r="D25" s="57" t="n"/>
    </row>
  </sheetData>
  <mergeCells count="21">
    <mergeCell ref="A5:D5"/>
    <mergeCell ref="A17:D17"/>
    <mergeCell ref="A23:D23"/>
    <mergeCell ref="A8:D8"/>
    <mergeCell ref="A22:D22"/>
    <mergeCell ref="A4:D4"/>
    <mergeCell ref="A19:D19"/>
    <mergeCell ref="A10:D10"/>
    <mergeCell ref="A13:D13"/>
    <mergeCell ref="A24:D24"/>
    <mergeCell ref="A11:D11"/>
    <mergeCell ref="A1:D1"/>
    <mergeCell ref="A6:D6"/>
    <mergeCell ref="A7:D7"/>
    <mergeCell ref="A25:D25"/>
    <mergeCell ref="A16:D16"/>
    <mergeCell ref="A18:D18"/>
    <mergeCell ref="A12:D12"/>
    <mergeCell ref="A3:D3"/>
    <mergeCell ref="A21:D21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2026-07-12T08:49:24Z</dcterms:created>
  <dcterms:modified xmlns:dcterms="http://purl.org/dc/terms/" xmlns:xsi="http://www.w3.org/2001/XMLSchema-instance" xsi:type="dcterms:W3CDTF">2026-07-13T20:20:07Z</dcterms:modified>
  <cp:revision>0</cp:revision>
</cp:coreProperties>
</file>